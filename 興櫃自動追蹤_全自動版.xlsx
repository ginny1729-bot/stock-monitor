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自選清單" sheetId="2" state="visible" r:id="rId2"/>
    <sheet xmlns:r="http://schemas.openxmlformats.org/officeDocument/2006/relationships" name="原始報價" sheetId="3" state="visible" r:id="rId3"/>
    <sheet xmlns:r="http://schemas.openxmlformats.org/officeDocument/2006/relationships" name="訊號清單" sheetId="4" state="visible" r:id="rId4"/>
    <sheet xmlns:r="http://schemas.openxmlformats.org/officeDocument/2006/relationships" name="執行紀錄" sheetId="5" state="visible" r:id="rId5"/>
    <sheet xmlns:r="http://schemas.openxmlformats.org/officeDocument/2006/relationships" name="使用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9" authorId="0" shapeId="0">
      <text>
        <t>資料來源頁面。櫃買中心顯示『興櫃股票當日行情表』並提供下載 CSV。</t>
      </text>
    </comment>
    <comment ref="B10" authorId="0" shapeId="0">
      <text>
        <t>資料來源頁面。櫃買中心顯示『興櫃股票成交統計』並提供下載 CSV。</t>
      </text>
    </comment>
  </commentList>
</comments>
</file>

<file path=xl/tables/table1.xml><?xml version="1.0" encoding="utf-8"?>
<table xmlns="http://schemas.openxmlformats.org/spreadsheetml/2006/main" id="1" name="Tbl_自選清單" displayName="Tbl_自選清單" ref="A1:M4" headerRowCount="1">
  <autoFilter ref="A1:M4"/>
  <tableColumns count="13">
    <tableColumn id="1" name="代號"/>
    <tableColumn id="2" name="股票名稱"/>
    <tableColumn id="3" name="分類"/>
    <tableColumn id="4" name="買進價"/>
    <tableColumn id="5" name="股數"/>
    <tableColumn id="6" name="成本"/>
    <tableColumn id="7" name="最新價"/>
    <tableColumn id="8" name="漲幅%"/>
    <tableColumn id="9" name="成交量"/>
    <tableColumn id="10" name="5次平均量"/>
    <tableColumn id="11" name="量比"/>
    <tableColumn id="12" name="訊號"/>
    <tableColumn id="13" name="策略備註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原始報價" displayName="Tbl_原始報價" ref="A1:J2" headerRowCount="1">
  <autoFilter ref="A1:J2"/>
  <tableColumns count="10">
    <tableColumn id="1" name="代號"/>
    <tableColumn id="2" name="名稱"/>
    <tableColumn id="3" name="開盤"/>
    <tableColumn id="4" name="最高"/>
    <tableColumn id="5" name="最低"/>
    <tableColumn id="6" name="最新價"/>
    <tableColumn id="7" name="漲幅%"/>
    <tableColumn id="8" name="成交量"/>
    <tableColumn id="9" name="資料日期"/>
    <tableColumn id="10" name="來源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訊號清單" displayName="Tbl_訊號清單" ref="A1:H2" headerRowCount="1">
  <autoFilter ref="A1:H2"/>
  <tableColumns count="8">
    <tableColumn id="1" name="代號"/>
    <tableColumn id="2" name="名稱"/>
    <tableColumn id="3" name="最新價"/>
    <tableColumn id="4" name="漲幅%"/>
    <tableColumn id="5" name="成交量"/>
    <tableColumn id="6" name="5次平均量"/>
    <tableColumn id="7" name="訊號"/>
    <tableColumn id="8" name="原因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執行紀錄" displayName="Tbl_執行紀錄" ref="A1:E1" headerRowCount="1">
  <autoFilter ref="A1:E1"/>
  <tableColumns count="5">
    <tableColumn id="1" name="執行時間"/>
    <tableColumn id="2" name="抓取筆數"/>
    <tableColumn id="3" name="訊號筆數"/>
    <tableColumn id="4" name="LINE推播"/>
    <tableColumn id="5" name="備註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使用說明" displayName="Tbl_使用說明" ref="A1:B7" headerRowCount="1">
  <autoFilter ref="A1:B7"/>
  <tableColumns count="2">
    <tableColumn id="1" name="步驟"/>
    <tableColumn id="2" name="內容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58" customWidth="1" min="3" max="3"/>
  </cols>
  <sheetData>
    <row r="1">
      <c r="A1" s="1" t="inlineStr">
        <is>
          <t>欄位</t>
        </is>
      </c>
      <c r="B1" s="1" t="inlineStr">
        <is>
          <t>值</t>
        </is>
      </c>
      <c r="C1" s="1" t="inlineStr">
        <is>
          <t>說明</t>
        </is>
      </c>
    </row>
    <row r="2">
      <c r="A2" s="2" t="inlineStr">
        <is>
          <t>LINE_CHANNEL_ACCESS_TOKEN</t>
        </is>
      </c>
      <c r="B2" s="3" t="inlineStr">
        <is>
          <t>請填入</t>
        </is>
      </c>
      <c r="C2" s="4" t="inlineStr">
        <is>
          <t>LINE Messaging API Channel access token</t>
        </is>
      </c>
    </row>
    <row r="3">
      <c r="A3" s="2" t="inlineStr">
        <is>
          <t>LINE_USER_ID</t>
        </is>
      </c>
      <c r="B3" s="3" t="inlineStr">
        <is>
          <t>請填入</t>
        </is>
      </c>
      <c r="C3" s="4" t="inlineStr">
        <is>
          <t>要推播的 User ID 或群組 ID</t>
        </is>
      </c>
    </row>
    <row r="4">
      <c r="A4" s="2" t="inlineStr">
        <is>
          <t>WATCHLIST_CODES</t>
        </is>
      </c>
      <c r="B4" s="3" t="inlineStr">
        <is>
          <t>7822,6879,4172</t>
        </is>
      </c>
      <c r="C4" s="4" t="inlineStr">
        <is>
          <t>用半形逗號分隔，可自行改成你的興櫃代號</t>
        </is>
      </c>
    </row>
    <row r="5">
      <c r="A5" s="2" t="inlineStr">
        <is>
          <t>PRICE_JUMP_PCT</t>
        </is>
      </c>
      <c r="B5" s="3" t="n">
        <v>5</v>
      </c>
      <c r="C5" s="4" t="inlineStr">
        <is>
          <t>漲幅達幾%視為強勢股</t>
        </is>
      </c>
    </row>
    <row r="6">
      <c r="A6" s="2" t="inlineStr">
        <is>
          <t>VOLUME_SURGE_MULTIPLE</t>
        </is>
      </c>
      <c r="B6" s="3" t="n">
        <v>2</v>
      </c>
      <c r="C6" s="4" t="inlineStr">
        <is>
          <t>量能大於近5次平均的倍數視為爆量</t>
        </is>
      </c>
    </row>
    <row r="7">
      <c r="A7" s="2" t="inlineStr">
        <is>
          <t>REPORT_FOLDER</t>
        </is>
      </c>
      <c r="B7" s="3" t="inlineStr">
        <is>
          <t>./output</t>
        </is>
      </c>
      <c r="C7" s="4" t="inlineStr">
        <is>
          <t>報表輸出資料夾</t>
        </is>
      </c>
    </row>
    <row r="8">
      <c r="A8" s="2" t="inlineStr">
        <is>
          <t>HISTORY_CSV</t>
        </is>
      </c>
      <c r="B8" s="3" t="inlineStr">
        <is>
          <t>./output/esb_history.csv</t>
        </is>
      </c>
      <c r="C8" s="4" t="inlineStr">
        <is>
          <t>累積歷史資料 CSV</t>
        </is>
      </c>
    </row>
    <row r="9">
      <c r="A9" s="2" t="inlineStr">
        <is>
          <t>SOURCE_URL</t>
        </is>
      </c>
      <c r="B9" s="3" t="inlineStr">
        <is>
          <t>https://www.tpex.org.tw/zh-tw/esb/trading/info/pricing.html</t>
        </is>
      </c>
      <c r="C9" s="4" t="inlineStr">
        <is>
          <t>櫃買中心興櫃股票當日行情表</t>
        </is>
      </c>
    </row>
    <row r="10">
      <c r="A10" s="2" t="inlineStr">
        <is>
          <t>SOURCE_URL_2</t>
        </is>
      </c>
      <c r="B10" s="3" t="inlineStr">
        <is>
          <t>https://www.tpex.org.tw/zh-tw/esb/psb/trading/statistics/day.html</t>
        </is>
      </c>
      <c r="C10" s="4" t="inlineStr">
        <is>
          <t>櫃買中心興櫃股票成交統計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8" customWidth="1" min="12" max="12"/>
    <col width="24" customWidth="1" min="13" max="13"/>
  </cols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分類</t>
        </is>
      </c>
      <c r="D1" s="1" t="inlineStr">
        <is>
          <t>買進價</t>
        </is>
      </c>
      <c r="E1" s="1" t="inlineStr">
        <is>
          <t>股數</t>
        </is>
      </c>
      <c r="F1" s="1" t="inlineStr">
        <is>
          <t>成本</t>
        </is>
      </c>
      <c r="G1" s="1" t="inlineStr">
        <is>
          <t>最新價</t>
        </is>
      </c>
      <c r="H1" s="1" t="inlineStr">
        <is>
          <t>漲幅%</t>
        </is>
      </c>
      <c r="I1" s="1" t="inlineStr">
        <is>
          <t>成交量</t>
        </is>
      </c>
      <c r="J1" s="1" t="inlineStr">
        <is>
          <t>5次平均量</t>
        </is>
      </c>
      <c r="K1" s="1" t="inlineStr">
        <is>
          <t>量比</t>
        </is>
      </c>
      <c r="L1" s="1" t="inlineStr">
        <is>
          <t>訊號</t>
        </is>
      </c>
      <c r="M1" s="1" t="inlineStr">
        <is>
          <t>策略備註</t>
        </is>
      </c>
    </row>
    <row r="2">
      <c r="A2" s="5" t="inlineStr">
        <is>
          <t>7822</t>
        </is>
      </c>
      <c r="B2" s="5">
        <f>IFERROR(XLOOKUP(A2,原始報價!A:A,原始報價!B:B,""),"")</f>
        <v/>
      </c>
      <c r="C2" s="5" t="inlineStr">
        <is>
          <t>AI</t>
        </is>
      </c>
      <c r="D2" s="5" t="inlineStr"/>
      <c r="E2" s="5" t="inlineStr"/>
      <c r="F2" s="5">
        <f>IF(OR(D2="",E2=""),"",D2*E2)</f>
        <v/>
      </c>
      <c r="G2" s="5">
        <f>IFERROR(XLOOKUP(A2,原始報價!A:A,原始報價!F:F,""),"")</f>
        <v/>
      </c>
      <c r="H2" s="5">
        <f>IFERROR(XLOOKUP(A2,原始報價!A:A,原始報價!G:G,""),"")</f>
        <v/>
      </c>
      <c r="I2" s="5">
        <f>IFERROR(XLOOKUP(A2,原始報價!A:A,原始報價!H:H,""),"")</f>
        <v/>
      </c>
      <c r="J2" s="5">
        <f>IFERROR(XLOOKUP(A2,訊號清單!A:A,訊號清單!F:F,""),"")</f>
        <v/>
      </c>
      <c r="K2" s="5">
        <f>IF(OR(I2="",J2=""),"",I2/J2)</f>
        <v/>
      </c>
      <c r="L2" s="5">
        <f>IFERROR(XLOOKUP(A2,訊號清單!A:A,訊號清單!G:G,""),"")</f>
        <v/>
      </c>
      <c r="M2" s="5" t="inlineStr">
        <is>
          <t>核心觀察</t>
        </is>
      </c>
    </row>
    <row r="3">
      <c r="A3" s="5" t="inlineStr">
        <is>
          <t>6879</t>
        </is>
      </c>
      <c r="B3" s="5">
        <f>IFERROR(XLOOKUP(A3,原始報價!A:A,原始報價!B:B,""),"")</f>
        <v/>
      </c>
      <c r="C3" s="5" t="inlineStr">
        <is>
          <t>生技</t>
        </is>
      </c>
      <c r="D3" s="5" t="inlineStr"/>
      <c r="E3" s="5" t="inlineStr"/>
      <c r="F3" s="5">
        <f>IF(OR(D3="",E3=""),"",D3*E3)</f>
        <v/>
      </c>
      <c r="G3" s="5">
        <f>IFERROR(XLOOKUP(A3,原始報價!A:A,原始報價!F:F,""),"")</f>
        <v/>
      </c>
      <c r="H3" s="5">
        <f>IFERROR(XLOOKUP(A3,原始報價!A:A,原始報價!G:G,""),"")</f>
        <v/>
      </c>
      <c r="I3" s="5">
        <f>IFERROR(XLOOKUP(A3,原始報價!A:A,原始報價!H:H,""),"")</f>
        <v/>
      </c>
      <c r="J3" s="5">
        <f>IFERROR(XLOOKUP(A3,訊號清單!A:A,訊號清單!F:F,""),"")</f>
        <v/>
      </c>
      <c r="K3" s="5">
        <f>IF(OR(I3="",J3=""),"",I3/J3)</f>
        <v/>
      </c>
      <c r="L3" s="5">
        <f>IFERROR(XLOOKUP(A3,訊號清單!A:A,訊號清單!G:G,""),"")</f>
        <v/>
      </c>
      <c r="M3" s="5" t="inlineStr">
        <is>
          <t>爆量觀察</t>
        </is>
      </c>
    </row>
    <row r="4">
      <c r="A4" s="5" t="inlineStr">
        <is>
          <t>4172</t>
        </is>
      </c>
      <c r="B4" s="5">
        <f>IFERROR(XLOOKUP(A4,原始報價!A:A,原始報價!B:B,""),"")</f>
        <v/>
      </c>
      <c r="C4" s="5" t="inlineStr">
        <is>
          <t>生技</t>
        </is>
      </c>
      <c r="D4" s="5" t="inlineStr"/>
      <c r="E4" s="5" t="inlineStr"/>
      <c r="F4" s="5">
        <f>IF(OR(D4="",E4=""),"",D4*E4)</f>
        <v/>
      </c>
      <c r="G4" s="5">
        <f>IFERROR(XLOOKUP(A4,原始報價!A:A,原始報價!F:F,""),"")</f>
        <v/>
      </c>
      <c r="H4" s="5">
        <f>IFERROR(XLOOKUP(A4,原始報價!A:A,原始報價!G:G,""),"")</f>
        <v/>
      </c>
      <c r="I4" s="5">
        <f>IFERROR(XLOOKUP(A4,原始報價!A:A,原始報價!H:H,""),"")</f>
        <v/>
      </c>
      <c r="J4" s="5">
        <f>IFERROR(XLOOKUP(A4,訊號清單!A:A,訊號清單!F:F,""),"")</f>
        <v/>
      </c>
      <c r="K4" s="5">
        <f>IF(OR(I4="",J4=""),"",I4/J4)</f>
        <v/>
      </c>
      <c r="L4" s="5">
        <f>IFERROR(XLOOKUP(A4,訊號清單!A:A,訊號清單!G:G,""),"")</f>
        <v/>
      </c>
      <c r="M4" s="5" t="inlineStr">
        <is>
          <t>授權題材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42" customWidth="1" min="10" max="10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開盤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最新價</t>
        </is>
      </c>
      <c r="G1" s="1" t="inlineStr">
        <is>
          <t>漲幅%</t>
        </is>
      </c>
      <c r="H1" s="1" t="inlineStr">
        <is>
          <t>成交量</t>
        </is>
      </c>
      <c r="I1" s="1" t="inlineStr">
        <is>
          <t>資料日期</t>
        </is>
      </c>
      <c r="J1" s="1" t="inlineStr">
        <is>
          <t>來源</t>
        </is>
      </c>
    </row>
    <row r="2">
      <c r="A2" s="5" t="inlineStr">
        <is>
          <t>由 Python 程式自動寫入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inlineStr">
        <is>
          <t>https://www.tpex.org.tw/zh-tw/esb/trading/info/pricing.html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42" customWidth="1" min="8" max="8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最新價</t>
        </is>
      </c>
      <c r="D1" s="1" t="inlineStr">
        <is>
          <t>漲幅%</t>
        </is>
      </c>
      <c r="E1" s="1" t="inlineStr">
        <is>
          <t>成交量</t>
        </is>
      </c>
      <c r="F1" s="1" t="inlineStr">
        <is>
          <t>5次平均量</t>
        </is>
      </c>
      <c r="G1" s="1" t="inlineStr">
        <is>
          <t>訊號</t>
        </is>
      </c>
      <c r="H1" s="1" t="inlineStr">
        <is>
          <t>原因</t>
        </is>
      </c>
    </row>
    <row r="2">
      <c r="A2" s="5" t="inlineStr">
        <is>
          <t>由 Python 程式自動寫入</t>
        </is>
      </c>
      <c r="B2" s="5" t="n"/>
      <c r="C2" s="5" t="n"/>
      <c r="D2" s="5" t="n"/>
      <c r="E2" s="5" t="n"/>
      <c r="F2" s="5" t="n"/>
      <c r="G2" s="5" t="n"/>
      <c r="H2" s="5" t="inlineStr">
        <is>
          <t>強勢股/爆量股/自選股追蹤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40" customWidth="1" min="5" max="5"/>
  </cols>
  <sheetData>
    <row r="1">
      <c r="A1" s="1" t="inlineStr">
        <is>
          <t>執行時間</t>
        </is>
      </c>
      <c r="B1" s="1" t="inlineStr">
        <is>
          <t>抓取筆數</t>
        </is>
      </c>
      <c r="C1" s="1" t="inlineStr">
        <is>
          <t>訊號筆數</t>
        </is>
      </c>
      <c r="D1" s="1" t="inlineStr">
        <is>
          <t>LINE推播</t>
        </is>
      </c>
      <c r="E1" s="1" t="inlineStr">
        <is>
          <t>備註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步驟</t>
        </is>
      </c>
      <c r="B1" s="1" t="inlineStr">
        <is>
          <t>內容</t>
        </is>
      </c>
    </row>
    <row r="2">
      <c r="A2" s="5" t="inlineStr">
        <is>
          <t>1</t>
        </is>
      </c>
      <c r="B2" s="5" t="inlineStr">
        <is>
          <t>先打開『設定』工作表，把 LINE token 與 LINE user ID 填入。</t>
        </is>
      </c>
    </row>
    <row r="3">
      <c r="A3" s="5" t="inlineStr">
        <is>
          <t>2</t>
        </is>
      </c>
      <c r="B3" s="5" t="inlineStr">
        <is>
          <t>在『自選清單』填入你要追蹤的興櫃代號、買進價、股數。</t>
        </is>
      </c>
    </row>
    <row r="4">
      <c r="A4" s="5" t="inlineStr">
        <is>
          <t>3</t>
        </is>
      </c>
      <c r="B4" s="5" t="inlineStr">
        <is>
          <t>執行 esb_auto_monitor.py 後，會自動抓取櫃買中心興櫃當日行情。</t>
        </is>
      </c>
    </row>
    <row r="5">
      <c r="A5" s="5" t="inlineStr">
        <is>
          <t>4</t>
        </is>
      </c>
      <c r="B5" s="5" t="inlineStr">
        <is>
          <t>程式會輸出：更新後 Excel、歷史 CSV、每日 JSON 與 LINE 推播。</t>
        </is>
      </c>
    </row>
    <row r="6">
      <c r="A6" s="5" t="inlineStr">
        <is>
          <t>5</t>
        </is>
      </c>
      <c r="B6" s="5" t="inlineStr">
        <is>
          <t>你可用工作排程器（Windows）或 cron（Mac/Linux）每天固定時間自動跑。</t>
        </is>
      </c>
    </row>
    <row r="7">
      <c r="A7" s="5" t="inlineStr">
        <is>
          <t>資料來源</t>
        </is>
      </c>
      <c r="B7" s="5" t="inlineStr">
        <is>
          <t>櫃買中心：興櫃股票當日行情表、興櫃股票成交統計。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2026-03-21T23:56:44Z</dcterms:created>
  <dcterms:modified xmlns:dcterms="http://purl.org/dc/terms/" xmlns:xsi="http://www.w3.org/2001/XMLSchema-instance" xsi:type="dcterms:W3CDTF">2026-03-21T23:56:44Z</dcterms:modified>
</cp:coreProperties>
</file>